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79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(4)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/>
    <row r="74"/>
    <row r="75"/>
    <row r="76" ht="15.75" customHeight="1" s="55"/>
    <row r="77"/>
    <row r="78"/>
    <row r="79">
      <c r="A79" s="24" t="n"/>
    </row>
  </sheetData>
  <mergeCells count="10">
    <mergeCell ref="A66:G66"/>
    <mergeCell ref="A56:G56"/>
    <mergeCell ref="A6:G6"/>
    <mergeCell ref="A39:G39"/>
    <mergeCell ref="A38:G38"/>
    <mergeCell ref="A2:G2"/>
    <mergeCell ref="A65:G65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0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(18)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/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/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</sheetData>
  <mergeCells count="10">
    <mergeCell ref="A185:G185"/>
    <mergeCell ref="A58:G58"/>
    <mergeCell ref="A102:G102"/>
    <mergeCell ref="A211:G211"/>
    <mergeCell ref="A186:G186"/>
    <mergeCell ref="A101:G101"/>
    <mergeCell ref="A130:G130"/>
    <mergeCell ref="A16:G16"/>
    <mergeCell ref="A2:G2"/>
    <mergeCell ref="A153:G15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(12)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0">
    <mergeCell ref="A13:G13"/>
    <mergeCell ref="A110:G110"/>
    <mergeCell ref="A56:G56"/>
    <mergeCell ref="A31:G31"/>
    <mergeCell ref="A100:G100"/>
    <mergeCell ref="A101:G101"/>
    <mergeCell ref="A92:G92"/>
    <mergeCell ref="A2:G2"/>
    <mergeCell ref="A57:G57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(7)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36:G36"/>
    <mergeCell ref="A44:G44"/>
    <mergeCell ref="A8:G8"/>
    <mergeCell ref="A55:G55"/>
    <mergeCell ref="A50:G50"/>
    <mergeCell ref="A20:G20"/>
    <mergeCell ref="A30:G3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1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(5)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53:G53"/>
    <mergeCell ref="A55:G55"/>
    <mergeCell ref="A4:G4"/>
    <mergeCell ref="A16:G16"/>
    <mergeCell ref="A2:G2"/>
    <mergeCell ref="A29:G29"/>
    <mergeCell ref="A52:G52"/>
    <mergeCell ref="A28:G28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5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0">
    <mergeCell ref="A89:G89"/>
    <mergeCell ref="A106:G106"/>
    <mergeCell ref="A105:G105"/>
    <mergeCell ref="A12:G12"/>
    <mergeCell ref="A2:G2"/>
    <mergeCell ref="A72:G72"/>
    <mergeCell ref="A52:G52"/>
    <mergeCell ref="A28:G28"/>
    <mergeCell ref="A51:G51"/>
    <mergeCell ref="A117:G11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09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(4)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5" customHeight="1" s="55">
      <c r="A80" s="6" t="n"/>
      <c r="B80" s="10" t="n"/>
    </row>
    <row r="81" ht="25" customHeight="1" s="55">
      <c r="A81" s="6" t="n"/>
      <c r="B81" s="10" t="n"/>
    </row>
    <row r="82" ht="25" customHeight="1" s="55">
      <c r="A82" s="6" t="n"/>
      <c r="B82" s="10" t="n"/>
    </row>
    <row r="83" ht="24" customHeight="1" s="55">
      <c r="A83" s="6" t="n"/>
      <c r="B83" s="10" t="n"/>
    </row>
    <row r="84" ht="24" customHeight="1" s="55">
      <c r="A84" s="6" t="n"/>
      <c r="B84" s="11" t="n"/>
    </row>
    <row r="85" ht="24" customHeight="1" s="55">
      <c r="A85" s="6" t="n"/>
      <c r="B85" s="11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  <row r="1009">
      <c r="A1009" s="6" t="n"/>
    </row>
  </sheetData>
  <mergeCells count="10">
    <mergeCell ref="A36:G36"/>
    <mergeCell ref="A49:G49"/>
    <mergeCell ref="A35:G35"/>
    <mergeCell ref="A2:G2"/>
    <mergeCell ref="A72:G72"/>
    <mergeCell ref="A23:G23"/>
    <mergeCell ref="A7:G7"/>
    <mergeCell ref="A73:G73"/>
    <mergeCell ref="A63:G6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19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97:G97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48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(18)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/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60:G60"/>
    <mergeCell ref="A80:G80"/>
    <mergeCell ref="A100:G100"/>
    <mergeCell ref="A2:G2"/>
    <mergeCell ref="A59:G59"/>
    <mergeCell ref="A112:G112"/>
    <mergeCell ref="A113:G113"/>
    <mergeCell ref="A129:G129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39:G39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4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0"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/>
      <c r="C70" s="58" t="n">
        <v>3</v>
      </c>
      <c r="D70" s="58" t="n">
        <v>2</v>
      </c>
      <c r="E70" s="58" t="n">
        <v>1</v>
      </c>
      <c r="F70" s="58" t="n">
        <v>131</v>
      </c>
      <c r="G70" s="57" t="n"/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9" customHeight="1" s="55">
      <c r="A79" s="8" t="n"/>
      <c r="B79" s="1" t="n"/>
      <c r="C79" s="8" t="n"/>
      <c r="D79" s="8" t="n"/>
      <c r="E79" s="8" t="n"/>
      <c r="F79" s="8" t="n"/>
      <c r="G79" s="3" t="n"/>
    </row>
    <row r="80" ht="29" customHeight="1" s="55">
      <c r="A80" s="8" t="n"/>
      <c r="B80" s="2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0">
    <mergeCell ref="A6:G6"/>
    <mergeCell ref="A53:G53"/>
    <mergeCell ref="A34:G34"/>
    <mergeCell ref="A35:G35"/>
    <mergeCell ref="A62:G62"/>
    <mergeCell ref="A20:G20"/>
    <mergeCell ref="A2:G2"/>
    <mergeCell ref="A59:G59"/>
    <mergeCell ref="A60:G60"/>
    <mergeCell ref="A41:G4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2">
    <mergeCell ref="A2:G2"/>
    <mergeCell ref="A105:G105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01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(23)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47" t="inlineStr">
        <is>
          <t>August (22)</t>
        </is>
      </c>
    </row>
    <row r="180" ht="24" customHeight="1" s="55">
      <c r="A180" s="45" t="inlineStr">
        <is>
          <t>406/850 Bourke Street</t>
        </is>
      </c>
      <c r="B180" s="51" t="n">
        <v>650000</v>
      </c>
      <c r="C180" s="52" t="n">
        <v>1</v>
      </c>
      <c r="D180" s="52" t="n">
        <v>1</v>
      </c>
      <c r="E180" s="52" t="n"/>
      <c r="F180" s="52" t="n">
        <v>47</v>
      </c>
      <c r="G180" s="51">
        <f>B180/F180</f>
        <v/>
      </c>
    </row>
    <row r="181" ht="24" customHeight="1" s="55">
      <c r="A181" s="45" t="inlineStr">
        <is>
          <t>G3A/34-38 McEvoy Street</t>
        </is>
      </c>
      <c r="B181" s="51" t="n">
        <v>1083000</v>
      </c>
      <c r="C181" s="52" t="n">
        <v>2</v>
      </c>
      <c r="D181" s="52" t="n">
        <v>2</v>
      </c>
      <c r="E181" s="52" t="n">
        <v>1</v>
      </c>
      <c r="F181" s="52" t="n">
        <v>71</v>
      </c>
      <c r="G181" s="51">
        <f>B181/F181</f>
        <v/>
      </c>
    </row>
    <row r="182" ht="24" customHeight="1" s="55">
      <c r="A182" s="45" t="inlineStr">
        <is>
          <t>48/13 Potter Street</t>
        </is>
      </c>
      <c r="B182" s="51" t="n">
        <v>1450000</v>
      </c>
      <c r="C182" s="52" t="n">
        <v>3</v>
      </c>
      <c r="D182" s="52" t="n">
        <v>2</v>
      </c>
      <c r="E182" s="52" t="n">
        <v>2</v>
      </c>
      <c r="F182" s="52" t="n">
        <v>101</v>
      </c>
      <c r="G182" s="51">
        <f>B182/F182</f>
        <v/>
      </c>
    </row>
    <row r="183" ht="24" customHeight="1" s="55">
      <c r="A183" s="45" t="inlineStr">
        <is>
          <t>315/2-4 Powell Street</t>
        </is>
      </c>
      <c r="B183" s="51" t="n">
        <v>675000</v>
      </c>
      <c r="C183" s="52" t="n">
        <v>1</v>
      </c>
      <c r="D183" s="52" t="n">
        <v>1</v>
      </c>
      <c r="E183" s="52" t="n"/>
      <c r="F183" s="52" t="n">
        <v>80</v>
      </c>
      <c r="G183" s="51">
        <f>B183/F183</f>
        <v/>
      </c>
    </row>
    <row r="184" ht="24" customHeight="1" s="55">
      <c r="A184" s="45" t="inlineStr">
        <is>
          <t>329/349 George Street</t>
        </is>
      </c>
      <c r="B184" s="51" t="n">
        <v>700000</v>
      </c>
      <c r="C184" s="52" t="n">
        <v>1</v>
      </c>
      <c r="D184" s="52" t="n">
        <v>1</v>
      </c>
      <c r="E184" s="52" t="n"/>
      <c r="F184" s="52" t="n"/>
      <c r="G184" s="51">
        <f>B184/F184</f>
        <v/>
      </c>
    </row>
    <row r="185" ht="24" customHeight="1" s="55">
      <c r="A185" s="45" t="inlineStr">
        <is>
          <t>513/40-46 McEvoy Street</t>
        </is>
      </c>
      <c r="B185" s="51" t="n"/>
      <c r="C185" s="52" t="n">
        <v>2</v>
      </c>
      <c r="D185" s="52" t="n">
        <v>2</v>
      </c>
      <c r="E185" s="52" t="n">
        <v>1</v>
      </c>
      <c r="F185" s="52" t="n"/>
      <c r="G185" s="51">
        <f>B185/F185</f>
        <v/>
      </c>
    </row>
    <row r="186" ht="24" customHeight="1" s="55">
      <c r="A186" s="45" t="inlineStr">
        <is>
          <t>107/762-768 Elizabeth Street</t>
        </is>
      </c>
      <c r="B186" s="51" t="n">
        <v>612500</v>
      </c>
      <c r="C186" s="52" t="n">
        <v>1</v>
      </c>
      <c r="D186" s="52" t="n">
        <v>1</v>
      </c>
      <c r="E186" s="52" t="n">
        <v>1</v>
      </c>
      <c r="F186" s="52" t="n">
        <v>42</v>
      </c>
      <c r="G186" s="51">
        <f>B186/F186</f>
        <v/>
      </c>
    </row>
    <row r="187" ht="24" customHeight="1" s="55">
      <c r="A187" s="45" t="inlineStr">
        <is>
          <t>A34/356 George St</t>
        </is>
      </c>
      <c r="B187" s="51" t="n">
        <v>680000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16/143-159 Botany Road</t>
        </is>
      </c>
      <c r="B188" s="51" t="n">
        <v>775000</v>
      </c>
      <c r="C188" s="52" t="n">
        <v>2</v>
      </c>
      <c r="D188" s="52" t="n">
        <v>2</v>
      </c>
      <c r="E188" s="52" t="n"/>
      <c r="F188" s="52" t="n">
        <v>75</v>
      </c>
      <c r="G188" s="51">
        <f>B188/F188</f>
        <v/>
      </c>
    </row>
    <row r="189" ht="24" customHeight="1" s="55">
      <c r="A189" s="56" t="inlineStr">
        <is>
          <t>31/110 Wellington Street</t>
        </is>
      </c>
      <c r="B189" s="57" t="n">
        <v>850000</v>
      </c>
      <c r="C189" s="58" t="n">
        <v>2</v>
      </c>
      <c r="D189" s="58" t="n">
        <v>2</v>
      </c>
      <c r="E189" s="58" t="n">
        <v>1</v>
      </c>
      <c r="F189" s="58" t="n">
        <v>76</v>
      </c>
      <c r="G189" s="57">
        <f>B189/F189</f>
        <v/>
      </c>
    </row>
    <row r="190" ht="24" customHeight="1" s="55">
      <c r="A190" s="56" t="inlineStr">
        <is>
          <t>326/349 George Street</t>
        </is>
      </c>
      <c r="B190" s="57" t="n">
        <v>1100000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87.5</v>
      </c>
      <c r="G190" s="57">
        <f>B190/F190</f>
        <v/>
      </c>
    </row>
    <row r="191" ht="24" customHeight="1" s="55">
      <c r="A191" s="56" t="inlineStr">
        <is>
          <t>C202/5 Hunter Street</t>
        </is>
      </c>
      <c r="B191" s="57" t="n">
        <v>750000</v>
      </c>
      <c r="C191" s="58" t="n">
        <v>1</v>
      </c>
      <c r="D191" s="58" t="n">
        <v>1</v>
      </c>
      <c r="E191" s="58" t="inlineStr">
        <is>
          <t>-</t>
        </is>
      </c>
      <c r="F191" s="58" t="n"/>
      <c r="G191" s="57" t="n"/>
    </row>
    <row r="192" ht="24" customHeight="1" s="55">
      <c r="A192" s="56" t="inlineStr">
        <is>
          <t>5B/356-368 George Street</t>
        </is>
      </c>
      <c r="B192" s="57" t="n"/>
      <c r="C192" s="58" t="n">
        <v>1</v>
      </c>
      <c r="D192" s="58" t="n">
        <v>1</v>
      </c>
      <c r="E192" s="58" t="inlineStr">
        <is>
          <t>-</t>
        </is>
      </c>
      <c r="F192" s="58" t="n">
        <v>57</v>
      </c>
      <c r="G192" s="57" t="n"/>
    </row>
    <row r="193" ht="24" customHeight="1" s="55">
      <c r="A193" s="56" t="inlineStr">
        <is>
          <t>525/810 Elizabeth Street</t>
        </is>
      </c>
      <c r="B193" s="57" t="n">
        <v>1203000</v>
      </c>
      <c r="C193" s="58" t="n">
        <v>2</v>
      </c>
      <c r="D193" s="58" t="n">
        <v>2</v>
      </c>
      <c r="E193" s="58" t="n">
        <v>1</v>
      </c>
      <c r="F193" s="58" t="n"/>
      <c r="G193" s="57" t="n"/>
    </row>
    <row r="194" ht="24" customHeight="1" s="55">
      <c r="A194" s="56" t="inlineStr">
        <is>
          <t>58/830 Bourke Street</t>
        </is>
      </c>
      <c r="B194" s="57" t="n">
        <v>760000</v>
      </c>
      <c r="C194" s="58" t="n">
        <v>1</v>
      </c>
      <c r="D194" s="58" t="n">
        <v>1</v>
      </c>
      <c r="E194" s="58" t="inlineStr">
        <is>
          <t>-</t>
        </is>
      </c>
      <c r="F194" s="58" t="n">
        <v>85</v>
      </c>
      <c r="G194" s="57">
        <f>B194/F194</f>
        <v/>
      </c>
    </row>
    <row r="195" ht="24" customHeight="1" s="55">
      <c r="A195" s="56" t="inlineStr">
        <is>
          <t>7/6 Archibald Avenue</t>
        </is>
      </c>
      <c r="B195" s="57" t="n">
        <v>870000</v>
      </c>
      <c r="C195" s="58" t="n">
        <v>2</v>
      </c>
      <c r="D195" s="58" t="n">
        <v>1</v>
      </c>
      <c r="E195" s="58" t="n">
        <v>1</v>
      </c>
      <c r="F195" s="58" t="n"/>
      <c r="G195" s="57" t="n"/>
    </row>
    <row r="196" ht="24" customHeight="1" s="55">
      <c r="A196" s="56" t="inlineStr">
        <is>
          <t>1506/15 Lachlan Street</t>
        </is>
      </c>
      <c r="B196" s="57" t="n">
        <v>996000</v>
      </c>
      <c r="C196" s="58" t="n">
        <v>2</v>
      </c>
      <c r="D196" s="58" t="n">
        <v>2</v>
      </c>
      <c r="E196" s="58" t="inlineStr">
        <is>
          <t>-</t>
        </is>
      </c>
      <c r="F196" s="58" t="n">
        <v>72</v>
      </c>
      <c r="G196" s="57">
        <f>B196/F196</f>
        <v/>
      </c>
    </row>
    <row r="197" ht="24" customHeight="1" s="55">
      <c r="A197" s="56" t="inlineStr">
        <is>
          <t>356-368 George Street</t>
        </is>
      </c>
      <c r="B197" s="57" t="n">
        <v>680000</v>
      </c>
      <c r="C197" s="58" t="n">
        <v>2</v>
      </c>
      <c r="D197" s="58" t="n">
        <v>2</v>
      </c>
      <c r="E197" s="58" t="inlineStr">
        <is>
          <t>-</t>
        </is>
      </c>
      <c r="F197" s="58" t="n">
        <v>73</v>
      </c>
      <c r="G197" s="57">
        <f>B197/F197</f>
        <v/>
      </c>
    </row>
    <row r="198" ht="24" customHeight="1" s="55">
      <c r="A198" s="56" t="inlineStr">
        <is>
          <t>40-46 McEvoy Street</t>
        </is>
      </c>
      <c r="B198" s="57" t="n"/>
      <c r="C198" s="58" t="n">
        <v>1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33A Botany Road</t>
        </is>
      </c>
      <c r="B199" s="57" t="n"/>
      <c r="C199" s="58" t="inlineStr">
        <is>
          <t>-</t>
        </is>
      </c>
      <c r="D199" s="58" t="inlineStr">
        <is>
          <t>-</t>
        </is>
      </c>
      <c r="E199" s="58" t="inlineStr">
        <is>
          <t>-</t>
        </is>
      </c>
      <c r="F199" s="58" t="n"/>
      <c r="G199" s="57" t="n"/>
    </row>
    <row r="200" ht="24" customHeight="1" s="55">
      <c r="A200" s="56" t="inlineStr">
        <is>
          <t>3A/34-38 McEvoy Street</t>
        </is>
      </c>
      <c r="B200" s="57" t="n"/>
      <c r="C200" s="58" t="n">
        <v>2</v>
      </c>
      <c r="D200" s="58" t="n">
        <v>2</v>
      </c>
      <c r="E200" s="58" t="inlineStr">
        <is>
          <t>-</t>
        </is>
      </c>
      <c r="F200" s="58" t="n">
        <v>71</v>
      </c>
      <c r="G200" s="57" t="n"/>
    </row>
    <row r="201" ht="24" customHeight="1" s="55">
      <c r="A201" s="56" t="inlineStr">
        <is>
          <t>806/18 O'Dea Avenue</t>
        </is>
      </c>
      <c r="B201" s="57" t="n"/>
      <c r="C201" s="58" t="n">
        <v>2</v>
      </c>
      <c r="D201" s="58" t="n">
        <v>2</v>
      </c>
      <c r="E201" s="58" t="n">
        <v>1</v>
      </c>
      <c r="F201" s="58" t="n">
        <v>68</v>
      </c>
      <c r="G201" s="57" t="n"/>
    </row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18:G18"/>
    <mergeCell ref="A154:G154"/>
    <mergeCell ref="A138:G138"/>
    <mergeCell ref="A2:G2"/>
    <mergeCell ref="A82:G82"/>
    <mergeCell ref="A177:G177"/>
    <mergeCell ref="A81:G81"/>
    <mergeCell ref="A108:G108"/>
    <mergeCell ref="A49:G49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0" r:id="rId167"/>
    <hyperlink xmlns:r="http://schemas.openxmlformats.org/officeDocument/2006/relationships" ref="A181" r:id="rId168"/>
    <hyperlink xmlns:r="http://schemas.openxmlformats.org/officeDocument/2006/relationships" ref="A182" r:id="rId169"/>
    <hyperlink xmlns:r="http://schemas.openxmlformats.org/officeDocument/2006/relationships" ref="A183" r:id="rId170"/>
    <hyperlink xmlns:r="http://schemas.openxmlformats.org/officeDocument/2006/relationships" ref="A184" r:id="rId171"/>
    <hyperlink xmlns:r="http://schemas.openxmlformats.org/officeDocument/2006/relationships" ref="A185" r:id="rId172"/>
    <hyperlink xmlns:r="http://schemas.openxmlformats.org/officeDocument/2006/relationships" ref="A186" r:id="rId173"/>
    <hyperlink xmlns:r="http://schemas.openxmlformats.org/officeDocument/2006/relationships" ref="A187" r:id="rId174"/>
    <hyperlink xmlns:r="http://schemas.openxmlformats.org/officeDocument/2006/relationships" ref="A188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79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(21)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9" t="inlineStr">
        <is>
          <t>September (2)</t>
        </is>
      </c>
    </row>
    <row r="178" ht="24" customHeight="1" s="55">
      <c r="A178" s="56" t="inlineStr">
        <is>
          <t>501/17 Gadigal Avenue</t>
        </is>
      </c>
      <c r="B178" s="57" t="n">
        <v>650000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57</v>
      </c>
      <c r="G178" s="57">
        <f>B178/F178</f>
        <v/>
      </c>
    </row>
    <row r="179" ht="24" customHeight="1" s="55">
      <c r="A179" s="56" t="inlineStr">
        <is>
          <t>202/8 Rose Valley Way</t>
        </is>
      </c>
      <c r="B179" s="57" t="n"/>
      <c r="C179" s="58" t="n">
        <v>2</v>
      </c>
      <c r="D179" s="58" t="n">
        <v>2</v>
      </c>
      <c r="E179" s="58" t="n">
        <v>1</v>
      </c>
      <c r="F179" s="58" t="n">
        <v>91</v>
      </c>
      <c r="G179" s="57" t="n"/>
    </row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111:G111"/>
    <mergeCell ref="A94:G94"/>
    <mergeCell ref="A40:G40"/>
    <mergeCell ref="A127:G127"/>
    <mergeCell ref="A12:G12"/>
    <mergeCell ref="A2:G2"/>
    <mergeCell ref="A72:G72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/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2026-07-22T06:13:39Z</dcterms:created>
  <dcterms:modified xsi:type="dcterms:W3CDTF">2026-09-02T08:23:25Z</dcterms:modified>
  <cp:lastModifiedBy>Jayden Kennett</cp:lastModifiedBy>
</cp:coreProperties>
</file>