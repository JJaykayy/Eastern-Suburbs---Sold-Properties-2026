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0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79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/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 t="n"/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/>
    <row r="75"/>
    <row r="76" ht="15.75" customHeight="1" s="55"/>
    <row r="77"/>
    <row r="78"/>
    <row r="79">
      <c r="A79" s="24" t="n"/>
    </row>
  </sheetData>
  <mergeCells count="10">
    <mergeCell ref="A66:G66"/>
    <mergeCell ref="A56:G56"/>
    <mergeCell ref="A65:G65"/>
    <mergeCell ref="A6:G6"/>
    <mergeCell ref="A39:G39"/>
    <mergeCell ref="A38:G38"/>
    <mergeCell ref="A2:G2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232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(26)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>
        <v>865000</v>
      </c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56" t="inlineStr">
        <is>
          <t>6C/16 Bligh Place</t>
        </is>
      </c>
      <c r="B212" s="57" t="n">
        <v>700000</v>
      </c>
      <c r="C212" s="58" t="n">
        <v>1</v>
      </c>
      <c r="D212" s="58" t="n">
        <v>1</v>
      </c>
      <c r="E212" s="58" t="n">
        <v>1</v>
      </c>
      <c r="F212" s="58" t="n">
        <v>51</v>
      </c>
      <c r="G212" s="57">
        <f>B212/F212</f>
        <v/>
      </c>
    </row>
    <row r="213" ht="24" customFormat="1" customHeight="1" s="22">
      <c r="A213" s="47" t="inlineStr">
        <is>
          <t>August (19)</t>
        </is>
      </c>
    </row>
    <row r="214" ht="24" customFormat="1" customHeight="1" s="22">
      <c r="A214" s="32" t="inlineStr">
        <is>
          <t>705/152 Barker Street</t>
        </is>
      </c>
      <c r="B214" s="51" t="n"/>
      <c r="C214" s="52" t="n">
        <v>3</v>
      </c>
      <c r="D214" s="52" t="n">
        <v>2</v>
      </c>
      <c r="E214" s="52" t="n">
        <v>2</v>
      </c>
      <c r="F214" s="52" t="n">
        <v>133</v>
      </c>
      <c r="G214" s="51">
        <f>B214/F214</f>
        <v/>
      </c>
    </row>
    <row r="215" ht="24" customFormat="1" customHeight="1" s="22">
      <c r="A215" s="32" t="inlineStr">
        <is>
          <t>21/89-91 Dangar Street</t>
        </is>
      </c>
      <c r="B215" s="51" t="inlineStr">
        <is>
          <t>$2,275,00</t>
        </is>
      </c>
      <c r="C215" s="52" t="n">
        <v>3</v>
      </c>
      <c r="D215" s="52" t="n">
        <v>2</v>
      </c>
      <c r="E215" s="52" t="n">
        <v>2</v>
      </c>
      <c r="F215" s="52" t="n">
        <v>102</v>
      </c>
      <c r="G215" s="51">
        <f>B215/F215</f>
        <v/>
      </c>
    </row>
    <row r="216" ht="24" customFormat="1" customHeight="1" s="22">
      <c r="A216" s="32" t="inlineStr">
        <is>
          <t>5C/12 Milford Street</t>
        </is>
      </c>
      <c r="B216" s="51" t="n">
        <v>1625000</v>
      </c>
      <c r="C216" s="52" t="n">
        <v>2</v>
      </c>
      <c r="D216" s="52" t="n">
        <v>1</v>
      </c>
      <c r="E216" s="52" t="n">
        <v>1</v>
      </c>
      <c r="F216" s="52" t="n">
        <v>88</v>
      </c>
      <c r="G216" s="51">
        <f>B216/F216</f>
        <v/>
      </c>
    </row>
    <row r="217" ht="24" customFormat="1" customHeight="1" s="22">
      <c r="A217" s="32" t="inlineStr">
        <is>
          <t>2/12-14 Belmore Road</t>
        </is>
      </c>
      <c r="B217" s="51" t="n">
        <v>725000</v>
      </c>
      <c r="C217" s="52" t="n">
        <v>1</v>
      </c>
      <c r="D217" s="52" t="n">
        <v>1</v>
      </c>
      <c r="E217" s="52" t="n"/>
      <c r="F217" s="52" t="n">
        <v>56</v>
      </c>
      <c r="G217" s="51">
        <f>B217/F217</f>
        <v/>
      </c>
    </row>
    <row r="218" ht="24" customFormat="1" customHeight="1" s="22">
      <c r="A218" s="32" t="inlineStr">
        <is>
          <t>36/65 Avoca Street</t>
        </is>
      </c>
      <c r="B218" s="51" t="n">
        <v>1237000</v>
      </c>
      <c r="C218" s="52" t="n">
        <v>2</v>
      </c>
      <c r="D218" s="52" t="n">
        <v>1</v>
      </c>
      <c r="E218" s="52" t="n">
        <v>1</v>
      </c>
      <c r="F218" s="52" t="n">
        <v>73</v>
      </c>
      <c r="G218" s="51">
        <f>B218/F218</f>
        <v/>
      </c>
    </row>
    <row r="219" ht="24" customFormat="1" customHeight="1" s="22">
      <c r="A219" s="32" t="inlineStr">
        <is>
          <t>2/5 William Street</t>
        </is>
      </c>
      <c r="B219" s="51" t="n"/>
      <c r="C219" s="52" t="n">
        <v>3</v>
      </c>
      <c r="D219" s="52" t="n">
        <v>2</v>
      </c>
      <c r="E219" s="52" t="n">
        <v>1</v>
      </c>
      <c r="F219" s="52" t="n">
        <v>130</v>
      </c>
      <c r="G219" s="51">
        <f>B219/F219</f>
        <v/>
      </c>
    </row>
    <row r="220" ht="24" customFormat="1" customHeight="1" s="22">
      <c r="A220" s="32" t="inlineStr">
        <is>
          <t>21/3-11 Church Street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77</v>
      </c>
      <c r="G220" s="51">
        <f>B220/F220</f>
        <v/>
      </c>
    </row>
    <row r="221" ht="24" customFormat="1" customHeight="1" s="22">
      <c r="A221" s="32" t="inlineStr">
        <is>
          <t>3/113 Alison Road</t>
        </is>
      </c>
      <c r="B221" s="51" t="n"/>
      <c r="C221" s="52" t="n">
        <v>2</v>
      </c>
      <c r="D221" s="52" t="n">
        <v>1</v>
      </c>
      <c r="E221" s="52" t="n">
        <v>1</v>
      </c>
      <c r="F221" s="52" t="n">
        <v>65</v>
      </c>
      <c r="G221" s="51">
        <f>B221/F221</f>
        <v/>
      </c>
    </row>
    <row r="222" ht="24" customFormat="1" customHeight="1" s="22">
      <c r="A222" s="32" t="inlineStr">
        <is>
          <t>10/223 Darley Road</t>
        </is>
      </c>
      <c r="B222" s="51" t="n">
        <v>1420000</v>
      </c>
      <c r="C222" s="52" t="n">
        <v>2</v>
      </c>
      <c r="D222" s="52" t="n">
        <v>1</v>
      </c>
      <c r="E222" s="52" t="n">
        <v>1</v>
      </c>
      <c r="F222" s="52" t="n">
        <v>69</v>
      </c>
      <c r="G222" s="51">
        <f>B222/F222</f>
        <v/>
      </c>
    </row>
    <row r="223" ht="24" customFormat="1" customHeight="1" s="22">
      <c r="A223" s="32" t="inlineStr">
        <is>
          <t>5/23 Marcel Avenue</t>
        </is>
      </c>
      <c r="B223" s="51" t="n">
        <v>1480000</v>
      </c>
      <c r="C223" s="52" t="n">
        <v>2</v>
      </c>
      <c r="D223" s="52" t="n">
        <v>1</v>
      </c>
      <c r="E223" s="52" t="n"/>
      <c r="F223" s="52" t="n">
        <v>135</v>
      </c>
      <c r="G223" s="51">
        <f>B223/F223</f>
        <v/>
      </c>
    </row>
    <row r="224" ht="24" customHeight="1" s="55">
      <c r="A224" s="32" t="inlineStr">
        <is>
          <t>2/85 Cowper Street</t>
        </is>
      </c>
      <c r="B224" s="51" t="n">
        <v>942000</v>
      </c>
      <c r="C224" s="52" t="n">
        <v>1</v>
      </c>
      <c r="D224" s="52" t="n">
        <v>1</v>
      </c>
      <c r="E224" s="52" t="n">
        <v>1</v>
      </c>
      <c r="F224" s="52" t="n">
        <v>49</v>
      </c>
      <c r="G224" s="51">
        <f>B224/F224</f>
        <v/>
      </c>
    </row>
    <row r="225" ht="24" customHeight="1" s="55">
      <c r="A225" s="32" t="inlineStr">
        <is>
          <t>305/2 Albert Street</t>
        </is>
      </c>
      <c r="B225" s="51" t="n">
        <v>1760000</v>
      </c>
      <c r="C225" s="52" t="n">
        <v>3</v>
      </c>
      <c r="D225" s="52" t="n">
        <v>2</v>
      </c>
      <c r="E225" s="52" t="n">
        <v>1</v>
      </c>
      <c r="F225" s="52" t="n">
        <v>115</v>
      </c>
      <c r="G225" s="51">
        <f>B225/F225</f>
        <v/>
      </c>
    </row>
    <row r="226" ht="24" customHeight="1" s="55">
      <c r="A226" s="56" t="inlineStr">
        <is>
          <t>21/144-158 Alison Road</t>
        </is>
      </c>
      <c r="B226" s="57" t="n">
        <v>1300000</v>
      </c>
      <c r="C226" s="58" t="n">
        <v>2</v>
      </c>
      <c r="D226" s="58" t="n">
        <v>1</v>
      </c>
      <c r="E226" s="58" t="n">
        <v>1</v>
      </c>
      <c r="F226" s="58" t="n">
        <v>63</v>
      </c>
      <c r="G226" s="57">
        <f>B226/F226</f>
        <v/>
      </c>
    </row>
    <row r="227" ht="24" customHeight="1" s="55">
      <c r="A227" s="56" t="inlineStr">
        <is>
          <t>33/244-254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78</v>
      </c>
      <c r="G227" s="57" t="n"/>
    </row>
    <row r="228" ht="24" customHeight="1" s="55">
      <c r="A228" s="56" t="inlineStr">
        <is>
          <t>25/260 Alison Road</t>
        </is>
      </c>
      <c r="B228" s="57" t="n"/>
      <c r="C228" s="58" t="n">
        <v>2</v>
      </c>
      <c r="D228" s="58" t="n">
        <v>1</v>
      </c>
      <c r="E228" s="58" t="n">
        <v>1</v>
      </c>
      <c r="F228" s="58" t="n">
        <v>63</v>
      </c>
      <c r="G228" s="57" t="n"/>
    </row>
    <row r="229" ht="24" customHeight="1" s="55">
      <c r="A229" s="56" t="inlineStr">
        <is>
          <t>88-120 Clovelly Road</t>
        </is>
      </c>
      <c r="B229" s="57" t="n"/>
      <c r="C229" s="58" t="inlineStr">
        <is>
          <t>-</t>
        </is>
      </c>
      <c r="D229" s="58" t="inlineStr">
        <is>
          <t>-</t>
        </is>
      </c>
      <c r="E229" s="58" t="inlineStr">
        <is>
          <t>-</t>
        </is>
      </c>
      <c r="F229" s="58" t="n"/>
      <c r="G229" s="57" t="n"/>
    </row>
    <row r="230" ht="24" customHeight="1" s="55">
      <c r="A230" s="56" t="inlineStr">
        <is>
          <t>43/195-199 Avoca Street</t>
        </is>
      </c>
      <c r="B230" s="57" t="n">
        <v>1465000</v>
      </c>
      <c r="C230" s="58" t="n">
        <v>2</v>
      </c>
      <c r="D230" s="58" t="n">
        <v>1</v>
      </c>
      <c r="E230" s="58" t="n">
        <v>1</v>
      </c>
      <c r="F230" s="58" t="n">
        <v>82</v>
      </c>
      <c r="G230" s="57">
        <f>B230/F230</f>
        <v/>
      </c>
    </row>
    <row r="231" ht="24" customHeight="1" s="55">
      <c r="A231" s="56" t="inlineStr">
        <is>
          <t>504/2 Roscrea Avenue</t>
        </is>
      </c>
      <c r="B231" s="57" t="n">
        <v>1200000</v>
      </c>
      <c r="C231" s="58" t="n">
        <v>2</v>
      </c>
      <c r="D231" s="58" t="n">
        <v>1</v>
      </c>
      <c r="E231" s="58" t="inlineStr">
        <is>
          <t>-</t>
        </is>
      </c>
      <c r="F231" s="58" t="n">
        <v>65</v>
      </c>
      <c r="G231" s="57">
        <f>B231/F231</f>
        <v/>
      </c>
    </row>
    <row r="232" ht="24" customHeight="1" s="55">
      <c r="A232" s="56" t="inlineStr">
        <is>
          <t>2/56 Oberon Street</t>
        </is>
      </c>
      <c r="B232" s="57" t="n">
        <v>1</v>
      </c>
      <c r="C232" s="58" t="n">
        <v>2</v>
      </c>
      <c r="D232" s="58" t="n">
        <v>1</v>
      </c>
      <c r="E232" s="58" t="n">
        <v>1</v>
      </c>
      <c r="F232" s="58" t="n">
        <v>54.94</v>
      </c>
      <c r="G232" s="57">
        <f>B232/F232</f>
        <v/>
      </c>
    </row>
  </sheetData>
  <mergeCells count="10">
    <mergeCell ref="A185:G185"/>
    <mergeCell ref="A102:G102"/>
    <mergeCell ref="A58:G58"/>
    <mergeCell ref="A186:G186"/>
    <mergeCell ref="A153:G153"/>
    <mergeCell ref="A16:G16"/>
    <mergeCell ref="A130:G130"/>
    <mergeCell ref="A101:G101"/>
    <mergeCell ref="A2:G2"/>
    <mergeCell ref="A213:G21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display="2/12-14 Belmore Road, Randwick" r:id="rId204"/>
    <hyperlink xmlns:r="http://schemas.openxmlformats.org/officeDocument/2006/relationships" ref="A217" display="36/65 Avoca Street, Randwick" r:id="rId205"/>
    <hyperlink xmlns:r="http://schemas.openxmlformats.org/officeDocument/2006/relationships" ref="A218" display="2/5 William Street, Randwick" r:id="rId206"/>
    <hyperlink xmlns:r="http://schemas.openxmlformats.org/officeDocument/2006/relationships" ref="A219" display="21/3-11 Church Street, Randwick" r:id="rId207"/>
    <hyperlink xmlns:r="http://schemas.openxmlformats.org/officeDocument/2006/relationships" ref="A220" display="3/113 Alison Road, Randwick" r:id="rId208"/>
    <hyperlink xmlns:r="http://schemas.openxmlformats.org/officeDocument/2006/relationships" ref="A221" display="10/223 Darley Road, Randwick" r:id="rId209"/>
    <hyperlink xmlns:r="http://schemas.openxmlformats.org/officeDocument/2006/relationships" ref="A222" display="5/23 Marcel Avenue, Randwick" r:id="rId210"/>
    <hyperlink xmlns:r="http://schemas.openxmlformats.org/officeDocument/2006/relationships" ref="A223" display="2/85 Cowper Street, Randwick" r:id="rId211"/>
    <hyperlink xmlns:r="http://schemas.openxmlformats.org/officeDocument/2006/relationships" ref="A224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013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/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 t="n"/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0">
    <mergeCell ref="A13:G13"/>
    <mergeCell ref="A56:G56"/>
    <mergeCell ref="A110:G110"/>
    <mergeCell ref="A31:G31"/>
    <mergeCell ref="A57:G57"/>
    <mergeCell ref="A92:G92"/>
    <mergeCell ref="A101:G101"/>
    <mergeCell ref="A100:G100"/>
    <mergeCell ref="A2:G2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I69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20" t="n"/>
      <c r="B68" s="21" t="n"/>
      <c r="C68" s="21" t="n"/>
      <c r="D68" s="21" t="n"/>
      <c r="E68" s="21" t="n"/>
      <c r="F68" s="21" t="n"/>
      <c r="G68" s="21" t="n"/>
    </row>
    <row r="69" ht="24" customHeight="1" s="55">
      <c r="A69" s="20" t="n"/>
      <c r="B69" s="21" t="n"/>
      <c r="C69" s="21" t="n"/>
      <c r="D69" s="21" t="n"/>
      <c r="E69" s="21" t="n"/>
      <c r="F69" s="21" t="n"/>
      <c r="G69" s="21" t="n"/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44:G44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/>
    <row r="53" ht="24" customHeight="1" s="55"/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31:G31"/>
    <mergeCell ref="A50:G50"/>
    <mergeCell ref="A4:G4"/>
    <mergeCell ref="A30:G30"/>
    <mergeCell ref="A2:G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63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n">
        <v>2</v>
      </c>
      <c r="D63" s="58" t="n">
        <v>2</v>
      </c>
      <c r="E63" s="58" t="inlineStr">
        <is>
          <t>-</t>
        </is>
      </c>
      <c r="F63" s="58" t="n"/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0">
    <mergeCell ref="A36:G36"/>
    <mergeCell ref="A44:G44"/>
    <mergeCell ref="A8:G8"/>
    <mergeCell ref="A55:G55"/>
    <mergeCell ref="A50:G50"/>
    <mergeCell ref="A30:G30"/>
    <mergeCell ref="A20:G20"/>
    <mergeCell ref="A2:G2"/>
    <mergeCell ref="A29:G29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I1003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19" t="n"/>
      <c r="B16" s="18" t="n"/>
      <c r="C16" s="19" t="n"/>
      <c r="D16" s="19" t="n"/>
      <c r="E16" s="19" t="n"/>
      <c r="F16" s="19" t="n"/>
      <c r="G16" s="18" t="n"/>
    </row>
    <row r="17" ht="24" customFormat="1" customHeight="1" s="21">
      <c r="A17" s="19" t="n"/>
      <c r="B17" s="18" t="n"/>
      <c r="C17" s="19" t="n"/>
      <c r="D17" s="19" t="n"/>
      <c r="E17" s="19" t="n"/>
      <c r="F17" s="19" t="n"/>
      <c r="G17" s="19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9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9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9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15.75" customHeight="1" s="55">
      <c r="A1003" s="6" t="n"/>
    </row>
  </sheetData>
  <mergeCells count="5">
    <mergeCell ref="A14:G14"/>
    <mergeCell ref="A12:G12"/>
    <mergeCell ref="A4:G4"/>
    <mergeCell ref="A2:G2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/>
    <row r="55" ht="24" customHeight="1" s="55"/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9">
    <mergeCell ref="A44:G44"/>
    <mergeCell ref="A27:G27"/>
    <mergeCell ref="A6:G6"/>
    <mergeCell ref="A2:G2"/>
    <mergeCell ref="A16:G16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I1000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8" t="n"/>
      <c r="B11" s="3" t="n"/>
      <c r="C11" s="8" t="n"/>
      <c r="D11" s="8" t="n"/>
      <c r="E11" s="8" t="n"/>
      <c r="F11" s="8" t="n"/>
      <c r="G11" s="8" t="n"/>
    </row>
    <row r="12" ht="29" customHeight="1" s="55">
      <c r="A12" s="8" t="n"/>
      <c r="B12" s="1" t="n"/>
      <c r="C12" s="8" t="n"/>
      <c r="D12" s="8" t="n"/>
      <c r="E12" s="8" t="n"/>
      <c r="F12" s="8" t="n"/>
      <c r="G12" s="8" t="n"/>
    </row>
    <row r="13" ht="24" customHeight="1" s="55">
      <c r="A13" s="8" t="n"/>
      <c r="B13" s="2" t="n"/>
      <c r="C13" s="8" t="n"/>
      <c r="D13" s="8" t="n"/>
      <c r="E13" s="8" t="n"/>
      <c r="F13" s="8" t="n"/>
      <c r="G13" s="3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4" customHeight="1" s="55">
      <c r="A22" s="8" t="n"/>
      <c r="B22" s="2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8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2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6" t="n"/>
    </row>
    <row r="32" ht="24" customHeight="1" s="55">
      <c r="A32" s="6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</sheetData>
  <mergeCells count="5">
    <mergeCell ref="A9:G9"/>
    <mergeCell ref="A4:G4"/>
    <mergeCell ref="A2:G2"/>
    <mergeCell ref="A7:G7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I65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(2)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6:G56"/>
    <mergeCell ref="A45:G45"/>
    <mergeCell ref="A53:G53"/>
    <mergeCell ref="A4:G4"/>
    <mergeCell ref="A29:G29"/>
    <mergeCell ref="A16:G16"/>
    <mergeCell ref="A2:G2"/>
    <mergeCell ref="A52:G52"/>
    <mergeCell ref="A63:G63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I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(3)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/>
      <c r="C31" s="52" t="n">
        <v>5</v>
      </c>
      <c r="D31" s="52" t="n">
        <v>3</v>
      </c>
      <c r="E31" s="52" t="n">
        <v>1</v>
      </c>
      <c r="F31" s="52" t="n">
        <v>277</v>
      </c>
      <c r="G31" s="51" t="n"/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6:G26"/>
    <mergeCell ref="A20:G20"/>
    <mergeCell ref="A2:G2"/>
    <mergeCell ref="A29:G29"/>
    <mergeCell ref="A15:G1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1009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(5)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32/27-31 Ocean Street North</t>
        </is>
      </c>
      <c r="B80" s="57" t="n">
        <v>1465000</v>
      </c>
      <c r="C80" s="58" t="n">
        <v>2</v>
      </c>
      <c r="D80" s="58" t="n">
        <v>1</v>
      </c>
      <c r="E80" s="58" t="n">
        <v>1</v>
      </c>
      <c r="F80" s="58" t="n">
        <v>81</v>
      </c>
      <c r="G80" s="57">
        <f>B80/F80</f>
        <v/>
      </c>
    </row>
    <row r="81" ht="24" customHeight="1" s="55">
      <c r="A81" s="59" t="inlineStr">
        <is>
          <t>September (1)</t>
        </is>
      </c>
    </row>
    <row r="82" ht="24" customHeight="1" s="55">
      <c r="A82" s="56" t="inlineStr">
        <is>
          <t>5601/34 Wellington Street</t>
        </is>
      </c>
      <c r="B82" s="57" t="n">
        <v>2600000</v>
      </c>
      <c r="C82" s="58" t="n">
        <v>2</v>
      </c>
      <c r="D82" s="58" t="n">
        <v>2</v>
      </c>
      <c r="E82" s="58" t="inlineStr">
        <is>
          <t>-</t>
        </is>
      </c>
      <c r="F82" s="58" t="n">
        <v>92</v>
      </c>
      <c r="G82" s="57">
        <f>B82/F82</f>
        <v/>
      </c>
    </row>
    <row r="83" ht="24" customHeight="1" s="55">
      <c r="A83" s="6" t="n"/>
      <c r="B83" s="10" t="n"/>
    </row>
    <row r="84" ht="24" customHeight="1" s="55">
      <c r="A84" s="6" t="n"/>
      <c r="B84" s="11" t="n"/>
    </row>
    <row r="85" ht="24" customHeight="1" s="55">
      <c r="A85" s="6" t="n"/>
      <c r="B85" s="11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  <row r="1009">
      <c r="A1009" s="6" t="n"/>
    </row>
  </sheetData>
  <mergeCells count="11">
    <mergeCell ref="A36:G36"/>
    <mergeCell ref="A49:G49"/>
    <mergeCell ref="A35:G35"/>
    <mergeCell ref="A23:G23"/>
    <mergeCell ref="A72:G72"/>
    <mergeCell ref="A2:G2"/>
    <mergeCell ref="A7:G7"/>
    <mergeCell ref="A81:G81"/>
    <mergeCell ref="A73:G73"/>
    <mergeCell ref="A63:G63"/>
    <mergeCell ref="A75:G7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1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(1)</t>
        </is>
      </c>
    </row>
    <row r="121" ht="24" customHeight="1" s="55">
      <c r="A121" s="56" t="inlineStr">
        <is>
          <t>68 Edgar Street</t>
        </is>
      </c>
      <c r="B121" s="57" t="n"/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 t="n"/>
    </row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20:G120"/>
    <mergeCell ref="A53:G53"/>
    <mergeCell ref="A83:G83"/>
    <mergeCell ref="A25:G25"/>
    <mergeCell ref="A96:G96"/>
    <mergeCell ref="A2:G2"/>
    <mergeCell ref="A52:G52"/>
    <mergeCell ref="A65:G6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(19)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/>
      <c r="C141" s="58" t="n">
        <v>1</v>
      </c>
      <c r="D141" s="58" t="n">
        <v>1</v>
      </c>
      <c r="E141" s="58" t="n">
        <v>1</v>
      </c>
      <c r="F141" s="58" t="n">
        <v>58</v>
      </c>
      <c r="G141" s="57" t="n"/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/>
      <c r="C147" s="58" t="n">
        <v>3</v>
      </c>
      <c r="D147" s="58" t="n">
        <v>3</v>
      </c>
      <c r="E147" s="58" t="n">
        <v>2</v>
      </c>
      <c r="F147" s="58" t="n">
        <v>173</v>
      </c>
      <c r="G147" s="57" t="n"/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9" t="inlineStr">
        <is>
          <t>September (1)</t>
        </is>
      </c>
    </row>
    <row r="151" ht="24" customHeight="1" s="55">
      <c r="A151" s="56" t="inlineStr">
        <is>
          <t>1/64-68 Mons Avenue</t>
        </is>
      </c>
      <c r="B151" s="57" t="n">
        <v>1050000</v>
      </c>
      <c r="C151" s="58" t="n">
        <v>2</v>
      </c>
      <c r="D151" s="58" t="n">
        <v>1</v>
      </c>
      <c r="E151" s="58" t="n">
        <v>2</v>
      </c>
      <c r="F151" s="58" t="n">
        <v>66</v>
      </c>
      <c r="G151" s="57">
        <f>B151/F151</f>
        <v/>
      </c>
    </row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60:G60"/>
    <mergeCell ref="A80:G80"/>
    <mergeCell ref="A150:G150"/>
    <mergeCell ref="A100:G100"/>
    <mergeCell ref="A130:G130"/>
    <mergeCell ref="A2:G2"/>
    <mergeCell ref="A59:G59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006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9" t="n"/>
      <c r="B42" s="3" t="n"/>
      <c r="C42" s="8" t="n"/>
      <c r="D42" s="8" t="n"/>
      <c r="E42" s="8" t="n"/>
      <c r="F42" s="8" t="n"/>
      <c r="G42" s="3" t="n"/>
    </row>
    <row r="43" ht="29" customHeight="1" s="55">
      <c r="A43" s="9" t="n"/>
      <c r="B43" s="3" t="n"/>
      <c r="C43" s="8" t="n"/>
      <c r="D43" s="8" t="n"/>
      <c r="E43" s="8" t="n"/>
      <c r="F43" s="8" t="n"/>
      <c r="G43" s="3" t="n"/>
    </row>
    <row r="44" ht="29" customHeight="1" s="55">
      <c r="A44" s="13" t="n"/>
      <c r="B44" s="1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2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4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2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4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4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4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>
      <c r="A1006" s="6" t="n"/>
    </row>
  </sheetData>
  <mergeCells count="9">
    <mergeCell ref="A36:G36"/>
    <mergeCell ref="A40:G40"/>
    <mergeCell ref="A34:G34"/>
    <mergeCell ref="A12:G12"/>
    <mergeCell ref="A24:G24"/>
    <mergeCell ref="A2:G2"/>
    <mergeCell ref="A29:G29"/>
    <mergeCell ref="A37:G37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013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(2)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3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8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15.75" customHeight="1" s="55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</sheetData>
  <mergeCells count="11">
    <mergeCell ref="A93:G93"/>
    <mergeCell ref="A40:G40"/>
    <mergeCell ref="A21:G21"/>
    <mergeCell ref="A39:G39"/>
    <mergeCell ref="A48:G48"/>
    <mergeCell ref="A62:G62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006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9" customHeight="1" s="55">
      <c r="A35" s="8" t="n"/>
      <c r="B35" s="2" t="n"/>
      <c r="C35" s="8" t="n"/>
      <c r="D35" s="8" t="n"/>
      <c r="E35" s="8" t="n"/>
      <c r="F35" s="8" t="n"/>
      <c r="G35" s="3" t="n"/>
    </row>
    <row r="36" ht="29" customHeight="1" s="55">
      <c r="A36" s="9" t="n"/>
      <c r="B36" s="1" t="n"/>
      <c r="C36" s="8" t="n"/>
      <c r="D36" s="8" t="n"/>
      <c r="E36" s="8" t="n"/>
      <c r="F36" s="8" t="n"/>
      <c r="G36" s="3" t="n"/>
    </row>
    <row r="37" ht="29" customHeight="1" s="55">
      <c r="A37" s="9" t="n"/>
      <c r="B37" s="1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4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9" customHeight="1" s="55">
      <c r="A42" s="9" t="n"/>
      <c r="B42" s="2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13" t="n"/>
      <c r="B44" s="2" t="n"/>
      <c r="C44" s="8" t="n"/>
      <c r="D44" s="8" t="n"/>
      <c r="E44" s="8" t="n"/>
      <c r="F44" s="8" t="n"/>
      <c r="G44" s="3" t="n"/>
    </row>
    <row r="45" ht="24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2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4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8" t="n"/>
      <c r="B59" s="2" t="n"/>
      <c r="C59" s="8" t="n"/>
      <c r="D59" s="8" t="n"/>
      <c r="E59" s="8" t="n"/>
      <c r="F59" s="8" t="n"/>
      <c r="G59" s="3" t="n"/>
    </row>
    <row r="60" ht="29" customHeight="1" s="55">
      <c r="A60" s="8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1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4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2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4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4" customHeight="1" s="55">
      <c r="A76" s="9" t="n"/>
      <c r="B76" s="1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9" customHeight="1" s="55">
      <c r="A83" s="9" t="n"/>
      <c r="B83" s="2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3" t="n"/>
      <c r="C90" s="8" t="n"/>
      <c r="D90" s="8" t="n"/>
      <c r="E90" s="8" t="n"/>
      <c r="F90" s="8" t="n"/>
      <c r="G90" s="3" t="n"/>
    </row>
    <row r="91" ht="24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8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>
      <c r="A1005" s="6" t="n"/>
    </row>
    <row r="1006">
      <c r="A1006" s="6" t="n"/>
    </row>
  </sheetData>
  <mergeCells count="8">
    <mergeCell ref="A32:G32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016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/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 t="n"/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(1)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2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2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210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(28)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/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 t="n"/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Mews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87</v>
      </c>
      <c r="G206" s="57">
        <f>B206/F206</f>
        <v/>
      </c>
    </row>
    <row r="207" ht="24" customHeight="1" s="55">
      <c r="A207" s="56" t="inlineStr">
        <is>
          <t>5/2 Kensington Street</t>
        </is>
      </c>
      <c r="B207" s="57" t="n">
        <v>1062000</v>
      </c>
      <c r="C207" s="58" t="n">
        <v>2</v>
      </c>
      <c r="D207" s="58" t="n">
        <v>1</v>
      </c>
      <c r="E207" s="58" t="inlineStr">
        <is>
          <t>-</t>
        </is>
      </c>
      <c r="F207" s="58" t="n">
        <v>89</v>
      </c>
      <c r="G207" s="57">
        <f>B207/F207</f>
        <v/>
      </c>
    </row>
    <row r="208" ht="24" customHeight="1" s="55">
      <c r="A208" s="56" t="inlineStr">
        <is>
          <t>14C/356-368 George Street</t>
        </is>
      </c>
      <c r="B208" s="57" t="n">
        <v>700000</v>
      </c>
      <c r="C208" s="58" t="n">
        <v>1</v>
      </c>
      <c r="D208" s="58" t="n">
        <v>1</v>
      </c>
      <c r="E208" s="58" t="n">
        <v>1</v>
      </c>
      <c r="F208" s="58" t="n">
        <v>73</v>
      </c>
      <c r="G208" s="57">
        <f>B208/F208</f>
        <v/>
      </c>
    </row>
    <row r="209" ht="24" customHeight="1" s="55">
      <c r="A209" s="56" t="inlineStr">
        <is>
          <t>1806/16 Gadigal Avenue</t>
        </is>
      </c>
      <c r="B209" s="57" t="n">
        <v>1500000</v>
      </c>
      <c r="C209" s="58" t="n">
        <v>3</v>
      </c>
      <c r="D209" s="58" t="n">
        <v>2</v>
      </c>
      <c r="E209" s="58" t="n">
        <v>1</v>
      </c>
      <c r="F209" s="58" t="n">
        <v>105</v>
      </c>
      <c r="G209" s="57">
        <f>B209/F209</f>
        <v/>
      </c>
    </row>
    <row r="210" ht="24" customHeight="1" s="55">
      <c r="A210" s="56" t="inlineStr">
        <is>
          <t>2/3 Potter Street</t>
        </is>
      </c>
      <c r="B210" s="57" t="n">
        <v>682000</v>
      </c>
      <c r="C210" s="58" t="inlineStr">
        <is>
          <t>-</t>
        </is>
      </c>
      <c r="D210" s="58" t="inlineStr">
        <is>
          <t>-</t>
        </is>
      </c>
      <c r="E210" s="58" t="inlineStr">
        <is>
          <t>-</t>
        </is>
      </c>
      <c r="F210" s="58" t="n">
        <v>76</v>
      </c>
      <c r="G210" s="57">
        <f>B210/F210</f>
        <v/>
      </c>
    </row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0">
    <mergeCell ref="A18:G18"/>
    <mergeCell ref="A154:G154"/>
    <mergeCell ref="A138:G138"/>
    <mergeCell ref="A49:G49"/>
    <mergeCell ref="A2:G2"/>
    <mergeCell ref="A82:G82"/>
    <mergeCell ref="A81:G81"/>
    <mergeCell ref="A108:G108"/>
    <mergeCell ref="A182:G182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0" r:id="rId167"/>
    <hyperlink xmlns:r="http://schemas.openxmlformats.org/officeDocument/2006/relationships" ref="A181" r:id="rId168"/>
    <hyperlink xmlns:r="http://schemas.openxmlformats.org/officeDocument/2006/relationships" ref="A182" r:id="rId169"/>
    <hyperlink xmlns:r="http://schemas.openxmlformats.org/officeDocument/2006/relationships" ref="A183" r:id="rId170"/>
    <hyperlink xmlns:r="http://schemas.openxmlformats.org/officeDocument/2006/relationships" ref="A184" r:id="rId171"/>
    <hyperlink xmlns:r="http://schemas.openxmlformats.org/officeDocument/2006/relationships" ref="A185" r:id="rId172"/>
    <hyperlink xmlns:r="http://schemas.openxmlformats.org/officeDocument/2006/relationships" ref="A186" r:id="rId173"/>
    <hyperlink xmlns:r="http://schemas.openxmlformats.org/officeDocument/2006/relationships" ref="A187" r:id="rId174"/>
    <hyperlink xmlns:r="http://schemas.openxmlformats.org/officeDocument/2006/relationships" ref="A188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82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(23)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928/5 Bindon Place</t>
        </is>
      </c>
      <c r="B177" s="57" t="n">
        <v>605000</v>
      </c>
      <c r="C177" s="58" t="inlineStr">
        <is>
          <t>-</t>
        </is>
      </c>
      <c r="D177" s="58" t="inlineStr">
        <is>
          <t>-</t>
        </is>
      </c>
      <c r="E177" s="58" t="inlineStr">
        <is>
          <t>-</t>
        </is>
      </c>
      <c r="F177" s="58" t="n"/>
      <c r="G177" s="57" t="n"/>
    </row>
    <row r="178" ht="24" customHeight="1" s="55">
      <c r="A178" s="56" t="inlineStr">
        <is>
          <t>1201/25 Geddes Avenue</t>
        </is>
      </c>
      <c r="B178" s="57" t="n">
        <v>723975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9" t="inlineStr">
        <is>
          <t>September (3)</t>
        </is>
      </c>
    </row>
    <row r="180" ht="24" customHeight="1" s="55">
      <c r="A180" s="56" t="inlineStr">
        <is>
          <t>501/17 Gadigal Avenue</t>
        </is>
      </c>
      <c r="B180" s="57" t="n">
        <v>650000</v>
      </c>
      <c r="C180" s="58" t="n">
        <v>1</v>
      </c>
      <c r="D180" s="58" t="n">
        <v>1</v>
      </c>
      <c r="E180" s="58" t="inlineStr">
        <is>
          <t>-</t>
        </is>
      </c>
      <c r="F180" s="58" t="n">
        <v>57</v>
      </c>
      <c r="G180" s="57">
        <f>B180/F180</f>
        <v/>
      </c>
    </row>
    <row r="181" ht="24" customHeight="1" s="55">
      <c r="A181" s="56" t="inlineStr">
        <is>
          <t>202/8 Rose Valley Way</t>
        </is>
      </c>
      <c r="B181" s="57" t="n">
        <v>905000</v>
      </c>
      <c r="C181" s="58" t="n">
        <v>2</v>
      </c>
      <c r="D181" s="58" t="n">
        <v>2</v>
      </c>
      <c r="E181" s="58" t="n">
        <v>1</v>
      </c>
      <c r="F181" s="58" t="n">
        <v>91</v>
      </c>
      <c r="G181" s="57">
        <f>B181/F181</f>
        <v/>
      </c>
    </row>
    <row r="182" ht="24" customHeight="1" s="55">
      <c r="A182" s="56" t="inlineStr">
        <is>
          <t>444/8 Ascot Avenue</t>
        </is>
      </c>
      <c r="B182" s="57" t="n"/>
      <c r="C182" s="58" t="n">
        <v>1</v>
      </c>
      <c r="D182" s="58" t="n">
        <v>1</v>
      </c>
      <c r="E182" s="58" t="inlineStr">
        <is>
          <t>-</t>
        </is>
      </c>
      <c r="F182" s="58" t="n">
        <v>60</v>
      </c>
      <c r="G182" s="57" t="n"/>
    </row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40:G40"/>
    <mergeCell ref="A94:G94"/>
    <mergeCell ref="A127:G127"/>
    <mergeCell ref="A12:G12"/>
    <mergeCell ref="A2:G2"/>
    <mergeCell ref="A72:G72"/>
    <mergeCell ref="A179:G179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  <col width="13" customWidth="1" style="55" min="8" max="8"/>
    <col width="13" customWidth="1" style="55" min="9" max="9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  <col width="13" customWidth="1" style="55" min="8" max="8"/>
    <col width="13" customWidth="1" style="55" min="9" max="9"/>
  </cols>
  <sheetData>
    <row r="1" ht="24" customHeight="1" s="55">
      <c r="A1" s="37" t="inlineStr">
        <is>
          <t>Zetland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12 Morris Grove</t>
        </is>
      </c>
      <c r="B3" s="57" t="n">
        <v>1970000</v>
      </c>
      <c r="C3" s="58" t="n">
        <v>3</v>
      </c>
      <c r="D3" s="58" t="n">
        <v>2</v>
      </c>
      <c r="E3" s="58" t="inlineStr">
        <is>
          <t>-</t>
        </is>
      </c>
      <c r="F3" s="58" t="n">
        <v>4557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2026-09-22T09:27:54Z</dcterms:modified>
  <cp:lastModifiedBy>Jayden Kennett</cp:lastModifiedBy>
</cp:coreProperties>
</file>